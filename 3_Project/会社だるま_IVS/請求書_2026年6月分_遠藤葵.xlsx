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aoi/Desktop/Bluenote/3_Project/会社だるま_IVS/"/>
    </mc:Choice>
  </mc:AlternateContent>
  <xr:revisionPtr revIDLastSave="0" documentId="13_ncr:1_{C7EF19AC-A405-B540-9E62-B6B5113AA713}" xr6:coauthVersionLast="47" xr6:coauthVersionMax="47" xr10:uidLastSave="{00000000-0000-0000-0000-000000000000}"/>
  <bookViews>
    <workbookView xWindow="0" yWindow="760" windowWidth="16280" windowHeight="15540" tabRatio="500" xr2:uid="{00000000-000D-0000-FFFF-FFFF00000000}"/>
  </bookViews>
  <sheets>
    <sheet name="請求書" sheetId="1" r:id="rId1"/>
  </sheets>
  <definedNames>
    <definedName name="_xlnm.Print_Area" localSheetId="0">請求書!$A$1:$E$39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28" i="1" l="1"/>
  <c r="C7" i="1" s="1"/>
  <c r="E27" i="1"/>
  <c r="E17" i="1"/>
  <c r="E16" i="1"/>
  <c r="E15" i="1"/>
  <c r="E25" i="1" s="1"/>
  <c r="E26" i="1" s="1"/>
</calcChain>
</file>

<file path=xl/sharedStrings.xml><?xml version="1.0" encoding="utf-8"?>
<sst xmlns="http://schemas.openxmlformats.org/spreadsheetml/2006/main" count="40" uniqueCount="40">
  <si>
    <t>請　求　書</t>
  </si>
  <si>
    <r>
      <rPr>
        <b/>
        <sz val="13"/>
        <color rgb="FF000000"/>
        <rFont val="Yu Gothic"/>
        <family val="3"/>
        <charset val="128"/>
      </rPr>
      <t>concon</t>
    </r>
    <r>
      <rPr>
        <b/>
        <sz val="13"/>
        <color rgb="FF000000"/>
        <rFont val="Noto Sans CJK SC"/>
        <family val="2"/>
      </rPr>
      <t>株式会社　御中</t>
    </r>
  </si>
  <si>
    <t>発行日:</t>
  </si>
  <si>
    <t>2026/07/03</t>
  </si>
  <si>
    <t>お支払期限:</t>
  </si>
  <si>
    <t>2026/07/31</t>
  </si>
  <si>
    <t>下記の通りご請求申し上げます。</t>
  </si>
  <si>
    <t>ご請求金額</t>
  </si>
  <si>
    <t>発行者:</t>
  </si>
  <si>
    <t>遠藤 葵</t>
  </si>
  <si>
    <t>〒154-0023</t>
  </si>
  <si>
    <t>東京都世田谷区若林1-37-14</t>
  </si>
  <si>
    <t>TEL: 090-7810-6736</t>
  </si>
  <si>
    <t>No.</t>
  </si>
  <si>
    <t>品目・摘要</t>
  </si>
  <si>
    <t>数量</t>
  </si>
  <si>
    <t>単価（税抜）</t>
  </si>
  <si>
    <t>金額（税抜）</t>
  </si>
  <si>
    <t>立替経費：宿泊費（2026/6/30 京都・IVS）※税込実費</t>
  </si>
  <si>
    <t>立替経費：新幹線代（2026/7/1 京都→品川）※税込実費</t>
  </si>
  <si>
    <t>小計（税抜・課税対象：業務費）</t>
  </si>
  <si>
    <t>消費税（10%）</t>
  </si>
  <si>
    <t>立替経費（税込実費・課税対象外）</t>
  </si>
  <si>
    <t>合計（税込）</t>
  </si>
  <si>
    <t>振込先</t>
  </si>
  <si>
    <t>銀行名</t>
  </si>
  <si>
    <t>三井住友銀行</t>
  </si>
  <si>
    <t>支店</t>
  </si>
  <si>
    <t>世田谷支店</t>
  </si>
  <si>
    <t>口座種別</t>
  </si>
  <si>
    <t>普通</t>
  </si>
  <si>
    <t>口座番号</t>
  </si>
  <si>
    <t>6075658</t>
  </si>
  <si>
    <t>口座名義</t>
  </si>
  <si>
    <t>エンドウ　アオイ</t>
  </si>
  <si>
    <t>備考</t>
  </si>
  <si>
    <t>・お振込手数料はお客様にてご負担くださいますようお願いいたします。
・立替経費は税込実費のため消費税計算の対象外です（領収書2点を別途添付）。</t>
  </si>
  <si>
    <t>撮影（前日設営含む）</t>
    <phoneticPr fontId="12"/>
  </si>
  <si>
    <t>編集作業</t>
    <rPh sb="2" eb="4">
      <t>サギョウ</t>
    </rPh>
    <phoneticPr fontId="12"/>
  </si>
  <si>
    <t>企画構成作成</t>
    <phoneticPr fontId="1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</si>
</sst>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
  </numFmts>
  <fonts count="13">
    <font>
      <sz val="11"/>
      <color theme="1"/>
      <name val="Calibri"/>
      <family val="2"/>
      <charset val="1"/>
    </font>
    <font>
      <b/>
      <sz val="18"/>
      <color rgb="FF000000"/>
      <name val="Noto Sans CJK SC"/>
      <family val="2"/>
      <charset val="1"/>
    </font>
    <font>
      <b/>
      <sz val="13"/>
      <color rgb="FF000000"/>
      <name val="Yu Gothic"/>
      <family val="3"/>
      <charset val="128"/>
    </font>
    <font>
      <b/>
      <sz val="13"/>
      <color rgb="FF000000"/>
      <name val="Noto Sans CJK SC"/>
      <family val="2"/>
    </font>
    <font>
      <sz val="10"/>
      <color rgb="FF000000"/>
      <name val="Noto Sans CJK SC"/>
      <family val="2"/>
      <charset val="1"/>
    </font>
    <font>
      <sz val="10"/>
      <color rgb="FF000000"/>
      <name val="Yu Gothic"/>
      <family val="3"/>
      <charset val="128"/>
    </font>
    <font>
      <b/>
      <sz val="12"/>
      <color rgb="FF000000"/>
      <name val="Noto Sans CJK SC"/>
      <family val="2"/>
      <charset val="1"/>
    </font>
    <font>
      <b/>
      <sz val="16"/>
      <name val="Yu Gothic"/>
      <family val="3"/>
      <charset val="128"/>
    </font>
    <font>
      <b/>
      <sz val="10"/>
      <color rgb="FF000000"/>
      <name val="Yu Gothic"/>
      <family val="3"/>
      <charset val="128"/>
    </font>
    <font>
      <b/>
      <sz val="10"/>
      <color rgb="FF000000"/>
      <name val="Noto Sans CJK SC"/>
      <family val="2"/>
      <charset val="1"/>
    </font>
    <font>
      <sz val="10"/>
      <color rgb="FF000000"/>
      <name val="Noto Sans CJK SC"/>
      <family val="2"/>
    </font>
    <font>
      <b/>
      <sz val="11"/>
      <name val="Yu Gothic"/>
      <family val="3"/>
      <charset val="128"/>
    </font>
    <font>
      <sz val="6"/>
      <name val="Tsukushi A Round Gothic Bold"/>
      <family val="3"/>
      <charset val="128"/>
    </font>
  </fonts>
  <fills count="4">
    <fill>
      <patternFill patternType="none"/>
    </fill>
    <fill>
      <patternFill patternType="gray125"/>
    </fill>
    <fill>
      <patternFill patternType="solid">
        <fgColor rgb="FFDEEBF7"/>
        <bgColor rgb="FFF2F2F2"/>
      </patternFill>
    </fill>
    <fill>
      <patternFill patternType="solid">
        <fgColor rgb="FFF2F2F2"/>
        <bgColor rgb="FFDEEBF7"/>
      </patternFill>
    </fill>
  </fills>
  <borders count="4">
    <border>
      <left/>
      <right/>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diagonal/>
    </border>
  </borders>
  <cellStyleXfs count="1">
    <xf numFmtId="0" fontId="0" fillId="0" borderId="0"/>
  </cellStyleXfs>
  <cellXfs count="24">
    <xf numFmtId="0" fontId="0" fillId="0" borderId="0" xfId="0"/>
    <xf numFmtId="0" fontId="4" fillId="0" borderId="3" xfId="0" applyFont="1" applyBorder="1" applyAlignment="1">
      <alignment horizontal="left" vertical="center" wrapText="1"/>
    </xf>
    <xf numFmtId="0" fontId="5"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9" fillId="3" borderId="1" xfId="0" applyFont="1" applyFill="1" applyBorder="1" applyAlignment="1">
      <alignment horizontal="left" vertical="center" wrapText="1"/>
    </xf>
    <xf numFmtId="0" fontId="9" fillId="3" borderId="1" xfId="0" applyFont="1" applyFill="1" applyBorder="1" applyAlignment="1">
      <alignment horizontal="right" vertical="center" wrapText="1"/>
    </xf>
    <xf numFmtId="176" fontId="7" fillId="0" borderId="2" xfId="0" applyNumberFormat="1" applyFont="1" applyBorder="1" applyAlignment="1">
      <alignment horizontal="center" vertical="center"/>
    </xf>
    <xf numFmtId="0" fontId="6" fillId="3" borderId="1" xfId="0" applyFont="1" applyFill="1" applyBorder="1" applyAlignment="1">
      <alignment horizontal="center" vertical="center" wrapText="1"/>
    </xf>
    <xf numFmtId="0" fontId="4" fillId="0" borderId="0" xfId="0" applyFont="1" applyAlignment="1">
      <alignment horizontal="left" vertical="center" wrapText="1"/>
    </xf>
    <xf numFmtId="0" fontId="2" fillId="0" borderId="0" xfId="0" applyFont="1" applyAlignment="1">
      <alignment horizontal="left" vertical="center" wrapText="1"/>
    </xf>
    <xf numFmtId="0" fontId="1" fillId="0" borderId="0" xfId="0" applyFont="1" applyAlignment="1">
      <alignment horizontal="center" vertical="center" wrapText="1"/>
    </xf>
    <xf numFmtId="0" fontId="4" fillId="0" borderId="0" xfId="0" applyFont="1" applyAlignment="1">
      <alignment horizontal="right" vertical="center" wrapText="1"/>
    </xf>
    <xf numFmtId="0" fontId="5" fillId="2" borderId="0" xfId="0" applyFont="1" applyFill="1" applyAlignment="1">
      <alignment horizontal="left" vertical="center" wrapText="1"/>
    </xf>
    <xf numFmtId="0" fontId="4" fillId="2" borderId="0" xfId="0" applyFont="1" applyFill="1" applyAlignment="1">
      <alignment horizontal="left" vertical="center" wrapText="1"/>
    </xf>
    <xf numFmtId="0" fontId="8" fillId="3" borderId="2"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5" fillId="0" borderId="2" xfId="0" applyFont="1" applyBorder="1" applyAlignment="1">
      <alignment horizontal="center" vertical="center" wrapText="1"/>
    </xf>
    <xf numFmtId="0" fontId="5" fillId="2" borderId="2" xfId="0" applyFont="1" applyFill="1" applyBorder="1" applyAlignment="1">
      <alignment horizontal="center" vertical="center" wrapText="1"/>
    </xf>
    <xf numFmtId="176" fontId="5" fillId="2" borderId="2" xfId="0" applyNumberFormat="1" applyFont="1" applyFill="1" applyBorder="1" applyAlignment="1">
      <alignment horizontal="right" vertical="center" wrapText="1"/>
    </xf>
    <xf numFmtId="176" fontId="5" fillId="0" borderId="2" xfId="0" applyNumberFormat="1" applyFont="1" applyBorder="1" applyAlignment="1">
      <alignment horizontal="right" vertical="center" wrapText="1"/>
    </xf>
    <xf numFmtId="0" fontId="4" fillId="2" borderId="2" xfId="0" applyFont="1" applyFill="1" applyBorder="1" applyAlignment="1">
      <alignment horizontal="left" vertical="center" wrapText="1"/>
    </xf>
    <xf numFmtId="176" fontId="11" fillId="0" borderId="2" xfId="0" applyNumberFormat="1" applyFont="1" applyBorder="1" applyAlignment="1">
      <alignment horizontal="right" vertical="center" wrapText="1"/>
    </xf>
    <xf numFmtId="0" fontId="4" fillId="3" borderId="2" xfId="0" applyFont="1" applyFill="1" applyBorder="1" applyAlignment="1">
      <alignment horizontal="left" vertical="center" wrapText="1"/>
    </xf>
    <xf numFmtId="0" fontId="10" fillId="2" borderId="2" xfId="0" applyFont="1" applyFill="1" applyBorder="1" applyAlignment="1">
      <alignment horizontal="left" vertical="center" wrapText="1"/>
    </xf>
  </cellXfs>
  <cellStyles count="1">
    <cellStyle name="標準" xfId="0" builtinId="0"/>
  </cellStyles>
  <dxfs count="0"/>
  <tableStyles count="0" defaultTableStyle="TableStyleMedium2" defaultPivotStyle="PivotStyleLight16"/>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39"/>
  <sheetViews>
    <sheetView tabSelected="1" zoomScaleNormal="100" workbookViewId="0">
      <selection activeCell="J17" sqref="J17"/>
    </sheetView>
  </sheetViews>
  <sheetFormatPr baseColWidth="10" defaultColWidth="8.6640625" defaultRowHeight="15"/>
  <cols>
    <col min="1" max="1" width="5" customWidth="1"/>
    <col min="2" max="2" width="34" customWidth="1"/>
    <col min="3" max="3" width="8" customWidth="1"/>
    <col min="4" max="4" width="14" customWidth="1"/>
    <col min="5" max="5" width="16" customWidth="1"/>
  </cols>
  <sheetData>
    <row r="1" spans="1:5" ht="30" customHeight="1">
      <c r="A1" s="10" t="s">
        <v>0</v>
      </c>
      <c r="B1" s="10"/>
      <c r="C1" s="10"/>
      <c r="D1" s="10"/>
      <c r="E1" s="10"/>
    </row>
    <row r="3" spans="1:5" ht="19.5" customHeight="1">
      <c r="A3" s="9" t="s">
        <v>1</v>
      </c>
      <c r="B3" s="9"/>
      <c r="C3" s="9"/>
      <c r="D3" s="11" t="s">
        <v>2</v>
      </c>
      <c r="E3" s="12" t="s">
        <v>3</v>
      </c>
    </row>
    <row r="4" spans="1:5" ht="15" customHeight="1">
      <c r="D4" s="11" t="s">
        <v>4</v>
      </c>
      <c r="E4" s="12" t="s">
        <v>5</v>
      </c>
    </row>
    <row r="5" spans="1:5" ht="15" customHeight="1">
      <c r="A5" s="8" t="s">
        <v>6</v>
      </c>
      <c r="B5" s="8"/>
      <c r="C5" s="8"/>
    </row>
    <row r="7" spans="1:5" ht="25.5" customHeight="1">
      <c r="A7" s="7" t="s">
        <v>7</v>
      </c>
      <c r="B7" s="7"/>
      <c r="C7" s="6">
        <f>E28</f>
        <v>43799</v>
      </c>
      <c r="D7" s="6"/>
      <c r="E7" s="6"/>
    </row>
    <row r="9" spans="1:5" ht="15" customHeight="1">
      <c r="D9" s="11" t="s">
        <v>8</v>
      </c>
      <c r="E9" s="13" t="s">
        <v>9</v>
      </c>
    </row>
    <row r="10" spans="1:5" ht="15" customHeight="1">
      <c r="E10" s="13" t="s">
        <v>10</v>
      </c>
    </row>
    <row r="11" spans="1:5" ht="26.25" customHeight="1">
      <c r="E11" s="13" t="s">
        <v>11</v>
      </c>
    </row>
    <row r="12" spans="1:5" ht="23.25" customHeight="1">
      <c r="E12" s="12" t="s">
        <v>12</v>
      </c>
    </row>
    <row r="14" spans="1:5" ht="15" customHeight="1">
      <c r="A14" s="14" t="s">
        <v>13</v>
      </c>
      <c r="B14" s="15" t="s">
        <v>14</v>
      </c>
      <c r="C14" s="15" t="s">
        <v>15</v>
      </c>
      <c r="D14" s="15" t="s">
        <v>16</v>
      </c>
      <c r="E14" s="15" t="s">
        <v>17</v>
      </c>
    </row>
    <row r="15" spans="1:5" ht="15" customHeight="1">
      <c r="A15" s="16">
        <v>1</v>
      </c>
      <c r="B15" s="23" t="s">
        <v>37</v>
      </c>
      <c r="C15" s="17">
        <v>6</v>
      </c>
      <c r="D15" s="18">
        <v>1226</v>
      </c>
      <c r="E15" s="19">
        <f>C15*D15</f>
        <v>7356</v>
      </c>
    </row>
    <row r="16" spans="1:5" ht="15" customHeight="1">
      <c r="A16" s="16">
        <v>2</v>
      </c>
      <c r="B16" s="20" t="s">
        <v>38</v>
      </c>
      <c r="C16" s="17">
        <v>6</v>
      </c>
      <c r="D16" s="18">
        <v>1226</v>
      </c>
      <c r="E16" s="19">
        <f>C16*D16</f>
        <v>7356</v>
      </c>
    </row>
    <row r="17" spans="1:5" ht="15" customHeight="1">
      <c r="A17" s="16">
        <v>3</v>
      </c>
      <c r="B17" s="20" t="s">
        <v>39</v>
      </c>
      <c r="C17" s="17">
        <v>5</v>
      </c>
      <c r="D17" s="18">
        <v>1226</v>
      </c>
      <c r="E17" s="19">
        <f>C17*D17</f>
        <v>6130</v>
      </c>
    </row>
    <row r="18" spans="1:5" ht="29.25" customHeight="1">
      <c r="A18" s="16">
        <v>4</v>
      </c>
      <c r="B18" s="20" t="s">
        <v>18</v>
      </c>
      <c r="C18" s="17"/>
      <c r="D18" s="18"/>
      <c r="E18" s="19">
        <v>7103</v>
      </c>
    </row>
    <row r="19" spans="1:5" ht="29.25" customHeight="1">
      <c r="A19" s="16">
        <v>5</v>
      </c>
      <c r="B19" s="20" t="s">
        <v>19</v>
      </c>
      <c r="C19" s="17"/>
      <c r="D19" s="18"/>
      <c r="E19" s="19">
        <v>13770</v>
      </c>
    </row>
    <row r="20" spans="1:5" ht="15" customHeight="1">
      <c r="A20" s="16">
        <v>6</v>
      </c>
      <c r="B20" s="20"/>
      <c r="C20" s="17"/>
      <c r="D20" s="18"/>
      <c r="E20" s="19"/>
    </row>
    <row r="21" spans="1:5" ht="15" customHeight="1">
      <c r="A21" s="16">
        <v>7</v>
      </c>
      <c r="B21" s="20"/>
      <c r="C21" s="17"/>
      <c r="D21" s="18"/>
      <c r="E21" s="19"/>
    </row>
    <row r="22" spans="1:5" ht="15" customHeight="1">
      <c r="A22" s="16">
        <v>8</v>
      </c>
      <c r="B22" s="20"/>
      <c r="C22" s="17"/>
      <c r="D22" s="18"/>
      <c r="E22" s="19"/>
    </row>
    <row r="23" spans="1:5" ht="15" customHeight="1">
      <c r="A23" s="16">
        <v>9</v>
      </c>
      <c r="B23" s="20"/>
      <c r="C23" s="17"/>
      <c r="D23" s="18"/>
      <c r="E23" s="19"/>
    </row>
    <row r="24" spans="1:5" ht="15" customHeight="1">
      <c r="A24" s="16">
        <v>10</v>
      </c>
      <c r="B24" s="20"/>
      <c r="C24" s="17"/>
      <c r="D24" s="18"/>
      <c r="E24" s="19"/>
    </row>
    <row r="25" spans="1:5" ht="15" customHeight="1">
      <c r="A25" s="5" t="s">
        <v>20</v>
      </c>
      <c r="B25" s="5"/>
      <c r="C25" s="5"/>
      <c r="D25" s="5"/>
      <c r="E25" s="19">
        <f>SUM(E15:E17)</f>
        <v>20842</v>
      </c>
    </row>
    <row r="26" spans="1:5" ht="15" customHeight="1">
      <c r="A26" s="5" t="s">
        <v>21</v>
      </c>
      <c r="B26" s="5"/>
      <c r="C26" s="5"/>
      <c r="D26" s="5"/>
      <c r="E26" s="19">
        <f>ROUNDDOWN(E25*0.1,0)</f>
        <v>2084</v>
      </c>
    </row>
    <row r="27" spans="1:5" ht="15" customHeight="1">
      <c r="A27" s="5" t="s">
        <v>22</v>
      </c>
      <c r="B27" s="5"/>
      <c r="C27" s="5"/>
      <c r="D27" s="5"/>
      <c r="E27" s="19">
        <f>SUM(E18:E19)</f>
        <v>20873</v>
      </c>
    </row>
    <row r="28" spans="1:5" ht="15" customHeight="1">
      <c r="A28" s="5" t="s">
        <v>23</v>
      </c>
      <c r="B28" s="5"/>
      <c r="C28" s="5"/>
      <c r="D28" s="5"/>
      <c r="E28" s="21">
        <f>E25+E26+E27</f>
        <v>43799</v>
      </c>
    </row>
    <row r="30" spans="1:5" ht="15" customHeight="1">
      <c r="A30" s="4" t="s">
        <v>24</v>
      </c>
      <c r="B30" s="4"/>
      <c r="C30" s="4"/>
      <c r="D30" s="4"/>
      <c r="E30" s="4"/>
    </row>
    <row r="31" spans="1:5" ht="29.25" customHeight="1">
      <c r="A31" s="22" t="s">
        <v>25</v>
      </c>
      <c r="B31" s="3" t="s">
        <v>26</v>
      </c>
      <c r="C31" s="3"/>
      <c r="D31" s="3"/>
      <c r="E31" s="3"/>
    </row>
    <row r="32" spans="1:5" ht="15" customHeight="1">
      <c r="A32" s="22" t="s">
        <v>27</v>
      </c>
      <c r="B32" s="3" t="s">
        <v>28</v>
      </c>
      <c r="C32" s="3"/>
      <c r="D32" s="3"/>
      <c r="E32" s="3"/>
    </row>
    <row r="33" spans="1:5" ht="29.25" customHeight="1">
      <c r="A33" s="22" t="s">
        <v>29</v>
      </c>
      <c r="B33" s="3" t="s">
        <v>30</v>
      </c>
      <c r="C33" s="3"/>
      <c r="D33" s="3"/>
      <c r="E33" s="3"/>
    </row>
    <row r="34" spans="1:5" ht="29.25" customHeight="1">
      <c r="A34" s="22" t="s">
        <v>31</v>
      </c>
      <c r="B34" s="2" t="s">
        <v>32</v>
      </c>
      <c r="C34" s="2"/>
      <c r="D34" s="2"/>
      <c r="E34" s="2"/>
    </row>
    <row r="35" spans="1:5" ht="29.25" customHeight="1">
      <c r="A35" s="22" t="s">
        <v>33</v>
      </c>
      <c r="B35" s="3" t="s">
        <v>34</v>
      </c>
      <c r="C35" s="3"/>
      <c r="D35" s="3"/>
      <c r="E35" s="3"/>
    </row>
    <row r="37" spans="1:5" ht="15" customHeight="1">
      <c r="A37" s="4" t="s">
        <v>35</v>
      </c>
      <c r="B37" s="4"/>
      <c r="C37" s="4"/>
      <c r="D37" s="4"/>
      <c r="E37" s="4"/>
    </row>
    <row r="38" spans="1:5" ht="33.75" customHeight="1">
      <c r="A38" s="1" t="s">
        <v>36</v>
      </c>
      <c r="B38" s="1"/>
      <c r="C38" s="1"/>
      <c r="D38" s="1"/>
      <c r="E38" s="1"/>
    </row>
    <row r="39" spans="1:5" ht="15" customHeight="1">
      <c r="A39" s="1"/>
      <c r="B39" s="1"/>
      <c r="C39" s="1"/>
      <c r="D39" s="1"/>
      <c r="E39" s="1"/>
    </row>
  </sheetData>
  <mergeCells count="17">
    <mergeCell ref="A37:E37"/>
    <mergeCell ref="A38:E39"/>
    <mergeCell ref="B31:E31"/>
    <mergeCell ref="B32:E32"/>
    <mergeCell ref="B33:E33"/>
    <mergeCell ref="B34:E34"/>
    <mergeCell ref="B35:E35"/>
    <mergeCell ref="A25:D25"/>
    <mergeCell ref="A26:D26"/>
    <mergeCell ref="A27:D27"/>
    <mergeCell ref="A28:D28"/>
    <mergeCell ref="A30:E30"/>
    <mergeCell ref="A1:E1"/>
    <mergeCell ref="A3:C3"/>
    <mergeCell ref="A5:C5"/>
    <mergeCell ref="A7:B7"/>
    <mergeCell ref="C7:E7"/>
  </mergeCells>
  <phoneticPr fontId="12"/>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請求書</vt:lpstr>
      <vt:lpstr>請求書!Print_Area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葵 遠藤</cp:lastModifiedBy>
  <cp:revision>0</cp:revision>
  <dcterms:created xsi:type="dcterms:W3CDTF">2026-07-03T07:48:42Z</dcterms:created>
  <dcterms:modified xsi:type="dcterms:W3CDTF">2026-07-04T03:54:22Z</dcterms:modified>
  <dc:language>en-US</dc:language>
</cp:coreProperties>
</file>